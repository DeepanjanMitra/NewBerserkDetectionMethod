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F:\ANTS_submission\NewBerserkDetectionAlgorithm\mySimulation\Results\algo_ver2_varying_threshold\"/>
    </mc:Choice>
  </mc:AlternateContent>
  <xr:revisionPtr revIDLastSave="0" documentId="13_ncr:1_{1A7155E3-075A-4B0A-AD72-F2740357D3D5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Sheet1" sheetId="1" r:id="rId1"/>
    <sheet name="Kutools_Chart" sheetId="2" state="hidden" r:id="rId2"/>
  </sheets>
  <definedNames>
    <definedName name="_xlnm._FilterDatabase" localSheetId="0" hidden="1">Sheet1!#REF!</definedName>
    <definedName name="solver_adj" localSheetId="0" hidden="1">Sheet1!#REF!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Sheet1!#REF!</definedName>
    <definedName name="solver_lhs2" localSheetId="0" hidden="1">Sheet1!#REF!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0.1</definedName>
    <definedName name="solver_rhs2" localSheetId="0" hidden="1">0.1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7" i="1" l="1"/>
  <c r="E37" i="1" s="1"/>
  <c r="F37" i="1" s="1"/>
  <c r="G37" i="1" s="1"/>
  <c r="D22" i="1"/>
  <c r="E22" i="1" s="1"/>
  <c r="F22" i="1" s="1"/>
  <c r="G22" i="1" s="1"/>
  <c r="D5" i="1"/>
  <c r="E5" i="1" s="1"/>
  <c r="F5" i="1" s="1"/>
  <c r="G5" i="1" s="1"/>
  <c r="B62" i="2" l="1"/>
  <c r="C62" i="2"/>
  <c r="D62" i="2"/>
  <c r="E62" i="2"/>
  <c r="F62" i="2"/>
  <c r="G62" i="2"/>
  <c r="H62" i="2"/>
  <c r="I62" i="2"/>
  <c r="J62" i="2"/>
  <c r="K62" i="2"/>
  <c r="A62" i="2"/>
  <c r="L59" i="2"/>
  <c r="B59" i="2"/>
  <c r="L58" i="2"/>
  <c r="B58" i="2"/>
  <c r="L57" i="2"/>
  <c r="B57" i="2"/>
  <c r="L56" i="2"/>
  <c r="B56" i="2"/>
  <c r="L55" i="2"/>
  <c r="B55" i="2"/>
  <c r="A55" i="2"/>
  <c r="K53" i="2"/>
  <c r="B53" i="2"/>
  <c r="K52" i="2"/>
  <c r="B52" i="2"/>
  <c r="K51" i="2"/>
  <c r="B51" i="2"/>
  <c r="K50" i="2"/>
  <c r="B50" i="2"/>
  <c r="K49" i="2"/>
  <c r="B49" i="2"/>
  <c r="A49" i="2"/>
  <c r="J47" i="2"/>
  <c r="B47" i="2"/>
  <c r="J46" i="2"/>
  <c r="B46" i="2"/>
  <c r="J45" i="2"/>
  <c r="B45" i="2"/>
  <c r="J44" i="2"/>
  <c r="B44" i="2"/>
  <c r="J43" i="2"/>
  <c r="B43" i="2"/>
  <c r="A43" i="2"/>
  <c r="I41" i="2"/>
  <c r="B41" i="2"/>
  <c r="I40" i="2"/>
  <c r="B40" i="2"/>
  <c r="I39" i="2"/>
  <c r="B39" i="2"/>
  <c r="I38" i="2"/>
  <c r="B38" i="2"/>
  <c r="I37" i="2"/>
  <c r="B37" i="2"/>
  <c r="A37" i="2"/>
  <c r="H35" i="2"/>
  <c r="B35" i="2"/>
  <c r="H34" i="2"/>
  <c r="B34" i="2"/>
  <c r="H33" i="2"/>
  <c r="B33" i="2"/>
  <c r="H32" i="2"/>
  <c r="B32" i="2"/>
  <c r="H31" i="2"/>
  <c r="B31" i="2"/>
  <c r="A31" i="2"/>
  <c r="G29" i="2"/>
  <c r="B29" i="2"/>
  <c r="G28" i="2"/>
  <c r="B28" i="2"/>
  <c r="G27" i="2"/>
  <c r="B27" i="2"/>
  <c r="G26" i="2"/>
  <c r="B26" i="2"/>
  <c r="G25" i="2"/>
  <c r="B25" i="2"/>
  <c r="A25" i="2"/>
  <c r="F23" i="2"/>
  <c r="B23" i="2"/>
  <c r="F22" i="2"/>
  <c r="B22" i="2"/>
  <c r="F21" i="2"/>
  <c r="B21" i="2"/>
  <c r="F20" i="2"/>
  <c r="B20" i="2"/>
  <c r="F19" i="2"/>
  <c r="B19" i="2"/>
  <c r="A19" i="2"/>
  <c r="E17" i="2"/>
  <c r="B17" i="2"/>
  <c r="E16" i="2"/>
  <c r="B16" i="2"/>
  <c r="E15" i="2"/>
  <c r="B15" i="2"/>
  <c r="E14" i="2"/>
  <c r="B14" i="2"/>
  <c r="E13" i="2"/>
  <c r="B13" i="2"/>
  <c r="A13" i="2"/>
  <c r="D11" i="2"/>
  <c r="B11" i="2"/>
  <c r="D10" i="2"/>
  <c r="B10" i="2"/>
  <c r="M9" i="2"/>
  <c r="D9" i="2"/>
  <c r="B9" i="2"/>
  <c r="D8" i="2"/>
  <c r="B8" i="2"/>
  <c r="D7" i="2"/>
  <c r="B7" i="2"/>
  <c r="A7" i="2"/>
  <c r="C5" i="2"/>
  <c r="B5" i="2"/>
  <c r="C4" i="2"/>
  <c r="B4" i="2"/>
  <c r="M3" i="2"/>
  <c r="C3" i="2"/>
  <c r="B3" i="2"/>
  <c r="C2" i="2"/>
  <c r="B2" i="2"/>
  <c r="C1" i="2"/>
  <c r="B1" i="2"/>
  <c r="A1" i="2"/>
  <c r="A2" i="2" l="1"/>
  <c r="M15" i="2"/>
  <c r="A20" i="2"/>
  <c r="A26" i="2"/>
  <c r="A32" i="2"/>
  <c r="A38" i="2"/>
  <c r="A44" i="2"/>
  <c r="A50" i="2"/>
  <c r="A56" i="2"/>
  <c r="A8" i="2"/>
  <c r="A14" i="2"/>
  <c r="A15" i="2"/>
  <c r="A51" i="2"/>
  <c r="A39" i="2"/>
  <c r="A21" i="2"/>
  <c r="A27" i="2"/>
  <c r="A3" i="2"/>
  <c r="A57" i="2"/>
  <c r="A45" i="2"/>
  <c r="A33" i="2"/>
  <c r="A9" i="2"/>
  <c r="M21" i="2"/>
  <c r="A58" i="2" l="1"/>
  <c r="A46" i="2"/>
  <c r="A34" i="2"/>
  <c r="A16" i="2"/>
  <c r="A22" i="2"/>
  <c r="A52" i="2"/>
  <c r="A40" i="2"/>
  <c r="A28" i="2"/>
  <c r="A4" i="2"/>
  <c r="A10" i="2"/>
  <c r="M27" i="2"/>
  <c r="M33" i="2" l="1"/>
  <c r="A59" i="2"/>
  <c r="A23" i="2"/>
  <c r="A41" i="2"/>
  <c r="A29" i="2"/>
  <c r="A17" i="2"/>
  <c r="A35" i="2"/>
  <c r="A5" i="2"/>
  <c r="A47" i="2"/>
  <c r="A11" i="2"/>
  <c r="A53" i="2"/>
  <c r="M39" i="2" l="1"/>
  <c r="M45" i="2" l="1"/>
  <c r="M51" i="2" l="1"/>
  <c r="M57" i="2"/>
</calcChain>
</file>

<file path=xl/sharedStrings.xml><?xml version="1.0" encoding="utf-8"?>
<sst xmlns="http://schemas.openxmlformats.org/spreadsheetml/2006/main" count="37" uniqueCount="15">
  <si>
    <t>FN</t>
  </si>
  <si>
    <t>FP</t>
  </si>
  <si>
    <t>TP</t>
  </si>
  <si>
    <t>Note: This set of data is generated when you create a multi series area chart, so please do not modify or delete it to avoid causing a difference arrow chart error</t>
  </si>
  <si>
    <t>q=0.01</t>
  </si>
  <si>
    <t>q=0.02</t>
  </si>
  <si>
    <t>q=0.03</t>
  </si>
  <si>
    <t>q=0.04</t>
  </si>
  <si>
    <t>q=0.05</t>
  </si>
  <si>
    <t>q=0.06</t>
  </si>
  <si>
    <t>q=0.07</t>
  </si>
  <si>
    <t>q=0.08</t>
  </si>
  <si>
    <t>q=0.09</t>
  </si>
  <si>
    <t>q=0.10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</si>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</sst>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Sheet1!$B$8</c:f>
              <c:strCache>
                <c:ptCount val="1"/>
                <c:pt idx="0">
                  <c:v>q=0.03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Sheet1!$C$8:$G$8</c:f>
              <c:numCache>
                <c:formatCode>General</c:formatCode>
                <c:ptCount val="5"/>
                <c:pt idx="0">
                  <c:v>1.7</c:v>
                </c:pt>
                <c:pt idx="1">
                  <c:v>1.97</c:v>
                </c:pt>
                <c:pt idx="2">
                  <c:v>1.81</c:v>
                </c:pt>
                <c:pt idx="3">
                  <c:v>2.37</c:v>
                </c:pt>
                <c:pt idx="4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4E-4514-B044-76148264C305}"/>
            </c:ext>
          </c:extLst>
        </c:ser>
        <c:ser>
          <c:idx val="3"/>
          <c:order val="3"/>
          <c:tx>
            <c:strRef>
              <c:f>Sheet1!$B$9</c:f>
              <c:strCache>
                <c:ptCount val="1"/>
                <c:pt idx="0">
                  <c:v>q=0.04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Sheet1!$C$9:$G$9</c:f>
              <c:numCache>
                <c:formatCode>General</c:formatCode>
                <c:ptCount val="5"/>
                <c:pt idx="0">
                  <c:v>2.27</c:v>
                </c:pt>
                <c:pt idx="1">
                  <c:v>2.33</c:v>
                </c:pt>
                <c:pt idx="2">
                  <c:v>2.56</c:v>
                </c:pt>
                <c:pt idx="3">
                  <c:v>2.82</c:v>
                </c:pt>
                <c:pt idx="4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4E-4514-B044-76148264C305}"/>
            </c:ext>
          </c:extLst>
        </c:ser>
        <c:ser>
          <c:idx val="4"/>
          <c:order val="4"/>
          <c:tx>
            <c:strRef>
              <c:f>Sheet1!$B$10</c:f>
              <c:strCache>
                <c:ptCount val="1"/>
                <c:pt idx="0">
                  <c:v>q=0.05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Sheet1!$C$10:$G$10</c:f>
              <c:numCache>
                <c:formatCode>General</c:formatCode>
                <c:ptCount val="5"/>
                <c:pt idx="0">
                  <c:v>2.04</c:v>
                </c:pt>
                <c:pt idx="1">
                  <c:v>2.2200000000000002</c:v>
                </c:pt>
                <c:pt idx="2">
                  <c:v>2.19</c:v>
                </c:pt>
                <c:pt idx="3">
                  <c:v>2.66</c:v>
                </c:pt>
                <c:pt idx="4">
                  <c:v>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4E-4514-B044-76148264C305}"/>
            </c:ext>
          </c:extLst>
        </c:ser>
        <c:ser>
          <c:idx val="5"/>
          <c:order val="5"/>
          <c:tx>
            <c:strRef>
              <c:f>Sheet1!$B$11</c:f>
              <c:strCache>
                <c:ptCount val="1"/>
                <c:pt idx="0">
                  <c:v>q=0.06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Sheet1!$C$11:$G$11</c:f>
              <c:numCache>
                <c:formatCode>General</c:formatCode>
                <c:ptCount val="5"/>
                <c:pt idx="0">
                  <c:v>2.0699999999999998</c:v>
                </c:pt>
                <c:pt idx="1">
                  <c:v>2.02</c:v>
                </c:pt>
                <c:pt idx="2">
                  <c:v>2.17</c:v>
                </c:pt>
                <c:pt idx="3">
                  <c:v>2.37</c:v>
                </c:pt>
                <c:pt idx="4">
                  <c:v>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4E-4514-B044-76148264C305}"/>
            </c:ext>
          </c:extLst>
        </c:ser>
        <c:ser>
          <c:idx val="6"/>
          <c:order val="6"/>
          <c:tx>
            <c:strRef>
              <c:f>Sheet1!$B$12</c:f>
              <c:strCache>
                <c:ptCount val="1"/>
                <c:pt idx="0">
                  <c:v>q=0.07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Sheet1!$C$12:$G$12</c:f>
              <c:numCache>
                <c:formatCode>General</c:formatCode>
                <c:ptCount val="5"/>
                <c:pt idx="0">
                  <c:v>2.23</c:v>
                </c:pt>
                <c:pt idx="1">
                  <c:v>2.4</c:v>
                </c:pt>
                <c:pt idx="2">
                  <c:v>2.78</c:v>
                </c:pt>
                <c:pt idx="3">
                  <c:v>3.16</c:v>
                </c:pt>
                <c:pt idx="4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4E-4514-B044-76148264C305}"/>
            </c:ext>
          </c:extLst>
        </c:ser>
        <c:ser>
          <c:idx val="7"/>
          <c:order val="7"/>
          <c:tx>
            <c:strRef>
              <c:f>Sheet1!$B$13</c:f>
              <c:strCache>
                <c:ptCount val="1"/>
                <c:pt idx="0">
                  <c:v>q=0.08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2.57</c:v>
                </c:pt>
                <c:pt idx="1">
                  <c:v>2.63</c:v>
                </c:pt>
                <c:pt idx="2">
                  <c:v>3.05</c:v>
                </c:pt>
                <c:pt idx="3">
                  <c:v>3.44</c:v>
                </c:pt>
                <c:pt idx="4">
                  <c:v>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4E-4514-B044-76148264C305}"/>
            </c:ext>
          </c:extLst>
        </c:ser>
        <c:ser>
          <c:idx val="8"/>
          <c:order val="8"/>
          <c:tx>
            <c:strRef>
              <c:f>Sheet1!$B$14</c:f>
              <c:strCache>
                <c:ptCount val="1"/>
                <c:pt idx="0">
                  <c:v>q=0.09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Sheet1!$C$14:$G$14</c:f>
              <c:numCache>
                <c:formatCode>General</c:formatCode>
                <c:ptCount val="5"/>
                <c:pt idx="0">
                  <c:v>2.65</c:v>
                </c:pt>
                <c:pt idx="1">
                  <c:v>3.09</c:v>
                </c:pt>
                <c:pt idx="2">
                  <c:v>2.91</c:v>
                </c:pt>
                <c:pt idx="3">
                  <c:v>3.76</c:v>
                </c:pt>
                <c:pt idx="4">
                  <c:v>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4E-4514-B044-76148264C305}"/>
            </c:ext>
          </c:extLst>
        </c:ser>
        <c:ser>
          <c:idx val="9"/>
          <c:order val="9"/>
          <c:tx>
            <c:strRef>
              <c:f>Sheet1!$B$15</c:f>
              <c:strCache>
                <c:ptCount val="1"/>
                <c:pt idx="0">
                  <c:v>q=0.10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Sheet1!$C$15:$G$15</c:f>
              <c:numCache>
                <c:formatCode>General</c:formatCode>
                <c:ptCount val="5"/>
                <c:pt idx="0">
                  <c:v>3.13</c:v>
                </c:pt>
                <c:pt idx="1">
                  <c:v>3.17</c:v>
                </c:pt>
                <c:pt idx="2">
                  <c:v>3.4</c:v>
                </c:pt>
                <c:pt idx="3">
                  <c:v>3.85</c:v>
                </c:pt>
                <c:pt idx="4">
                  <c:v>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4E-4514-B044-76148264C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775256"/>
        <c:axId val="6517755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q=0.01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Sheet1!$C$5:$G$5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0.9</c:v>
                      </c:pt>
                      <c:pt idx="2">
                        <c:v>0.8</c:v>
                      </c:pt>
                      <c:pt idx="3">
                        <c:v>0.70000000000000007</c:v>
                      </c:pt>
                      <c:pt idx="4">
                        <c:v>0.60000000000000009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Sheet1!$C$6:$G$6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1.41</c:v>
                      </c:pt>
                      <c:pt idx="1">
                        <c:v>1.55</c:v>
                      </c:pt>
                      <c:pt idx="2">
                        <c:v>1.51</c:v>
                      </c:pt>
                      <c:pt idx="3">
                        <c:v>1.63</c:v>
                      </c:pt>
                      <c:pt idx="4">
                        <c:v>1.83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4E-4514-B044-76148264C30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Sheet1!$B$7</c15:sqref>
                        </c15:formulaRef>
                      </c:ext>
                    </c:extLst>
                    <c:strCache>
                      <c:ptCount val="1"/>
                      <c:pt idx="0">
                        <c:v>q=0.02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Sheet1!$C$5:$G$5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0.9</c:v>
                      </c:pt>
                      <c:pt idx="2">
                        <c:v>0.8</c:v>
                      </c:pt>
                      <c:pt idx="3">
                        <c:v>0.70000000000000007</c:v>
                      </c:pt>
                      <c:pt idx="4">
                        <c:v>0.60000000000000009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Sheet1!$C$7:$G$7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1.91</c:v>
                      </c:pt>
                      <c:pt idx="1">
                        <c:v>1.99</c:v>
                      </c:pt>
                      <c:pt idx="2">
                        <c:v>2.06</c:v>
                      </c:pt>
                      <c:pt idx="3">
                        <c:v>2.12</c:v>
                      </c:pt>
                      <c:pt idx="4">
                        <c:v>2.82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84E-4514-B044-76148264C305}"/>
                  </c:ext>
                </c:extLst>
              </c15:ser>
            </c15:filteredLineSeries>
          </c:ext>
        </c:extLst>
      </c:lineChart>
      <c:catAx>
        <c:axId val="651775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threshold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75584"/>
        <c:crosses val="autoZero"/>
        <c:auto val="1"/>
        <c:lblAlgn val="ctr"/>
        <c:lblOffset val="100"/>
        <c:noMultiLvlLbl val="0"/>
      </c:catAx>
      <c:valAx>
        <c:axId val="6517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7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Sheet1!$B$25</c:f>
              <c:strCache>
                <c:ptCount val="1"/>
                <c:pt idx="0">
                  <c:v>q=0.03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Sheet1!$C$22:$G$22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Sheet1!$C$25:$G$25</c:f>
              <c:numCache>
                <c:formatCode>General</c:formatCode>
                <c:ptCount val="5"/>
                <c:pt idx="0">
                  <c:v>1.0900000000000001</c:v>
                </c:pt>
                <c:pt idx="1">
                  <c:v>0.9</c:v>
                </c:pt>
                <c:pt idx="2">
                  <c:v>0.3</c:v>
                </c:pt>
                <c:pt idx="3">
                  <c:v>0.14000000000000001</c:v>
                </c:pt>
                <c:pt idx="4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0-4387-ACFB-85EB2496403E}"/>
            </c:ext>
          </c:extLst>
        </c:ser>
        <c:ser>
          <c:idx val="3"/>
          <c:order val="3"/>
          <c:tx>
            <c:strRef>
              <c:f>Sheet1!$B$26</c:f>
              <c:strCache>
                <c:ptCount val="1"/>
                <c:pt idx="0">
                  <c:v>q=0.04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Sheet1!$C$22:$G$22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Sheet1!$C$26:$G$26</c:f>
              <c:numCache>
                <c:formatCode>General</c:formatCode>
                <c:ptCount val="5"/>
                <c:pt idx="0">
                  <c:v>2.17</c:v>
                </c:pt>
                <c:pt idx="1">
                  <c:v>1.23</c:v>
                </c:pt>
                <c:pt idx="2">
                  <c:v>0.2</c:v>
                </c:pt>
                <c:pt idx="3">
                  <c:v>0.19</c:v>
                </c:pt>
                <c:pt idx="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D0-4387-ACFB-85EB2496403E}"/>
            </c:ext>
          </c:extLst>
        </c:ser>
        <c:ser>
          <c:idx val="4"/>
          <c:order val="4"/>
          <c:tx>
            <c:strRef>
              <c:f>Sheet1!$B$27</c:f>
              <c:strCache>
                <c:ptCount val="1"/>
                <c:pt idx="0">
                  <c:v>q=0.05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Sheet1!$C$22:$G$22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Sheet1!$C$27:$G$27</c:f>
              <c:numCache>
                <c:formatCode>General</c:formatCode>
                <c:ptCount val="5"/>
                <c:pt idx="0">
                  <c:v>3.65</c:v>
                </c:pt>
                <c:pt idx="1">
                  <c:v>1.26</c:v>
                </c:pt>
                <c:pt idx="2">
                  <c:v>0.25</c:v>
                </c:pt>
                <c:pt idx="3">
                  <c:v>0.26</c:v>
                </c:pt>
                <c:pt idx="4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D0-4387-ACFB-85EB2496403E}"/>
            </c:ext>
          </c:extLst>
        </c:ser>
        <c:ser>
          <c:idx val="5"/>
          <c:order val="5"/>
          <c:tx>
            <c:strRef>
              <c:f>Sheet1!$B$28</c:f>
              <c:strCache>
                <c:ptCount val="1"/>
                <c:pt idx="0">
                  <c:v>q=0.06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Sheet1!$C$22:$G$22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Sheet1!$C$28:$G$28</c:f>
              <c:numCache>
                <c:formatCode>General</c:formatCode>
                <c:ptCount val="5"/>
                <c:pt idx="0">
                  <c:v>5.2</c:v>
                </c:pt>
                <c:pt idx="1">
                  <c:v>2.33</c:v>
                </c:pt>
                <c:pt idx="2">
                  <c:v>0.45</c:v>
                </c:pt>
                <c:pt idx="3">
                  <c:v>0.43</c:v>
                </c:pt>
                <c:pt idx="4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D0-4387-ACFB-85EB2496403E}"/>
            </c:ext>
          </c:extLst>
        </c:ser>
        <c:ser>
          <c:idx val="6"/>
          <c:order val="6"/>
          <c:tx>
            <c:strRef>
              <c:f>Sheet1!$B$29</c:f>
              <c:strCache>
                <c:ptCount val="1"/>
                <c:pt idx="0">
                  <c:v>q=0.07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Sheet1!$C$22:$G$22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Sheet1!$C$29:$G$29</c:f>
              <c:numCache>
                <c:formatCode>General</c:formatCode>
                <c:ptCount val="5"/>
                <c:pt idx="0">
                  <c:v>6.05</c:v>
                </c:pt>
                <c:pt idx="1">
                  <c:v>3.41</c:v>
                </c:pt>
                <c:pt idx="2">
                  <c:v>0.41</c:v>
                </c:pt>
                <c:pt idx="3">
                  <c:v>0.46</c:v>
                </c:pt>
                <c:pt idx="4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D0-4387-ACFB-85EB2496403E}"/>
            </c:ext>
          </c:extLst>
        </c:ser>
        <c:ser>
          <c:idx val="7"/>
          <c:order val="7"/>
          <c:tx>
            <c:strRef>
              <c:f>Sheet1!$B$30</c:f>
              <c:strCache>
                <c:ptCount val="1"/>
                <c:pt idx="0">
                  <c:v>q=0.08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Sheet1!$C$22:$G$22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Sheet1!$C$30:$G$30</c:f>
              <c:numCache>
                <c:formatCode>General</c:formatCode>
                <c:ptCount val="5"/>
                <c:pt idx="0">
                  <c:v>8.69</c:v>
                </c:pt>
                <c:pt idx="1">
                  <c:v>5.49</c:v>
                </c:pt>
                <c:pt idx="2">
                  <c:v>0.5</c:v>
                </c:pt>
                <c:pt idx="3">
                  <c:v>0.51</c:v>
                </c:pt>
                <c:pt idx="4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D0-4387-ACFB-85EB2496403E}"/>
            </c:ext>
          </c:extLst>
        </c:ser>
        <c:ser>
          <c:idx val="8"/>
          <c:order val="8"/>
          <c:tx>
            <c:strRef>
              <c:f>Sheet1!$B$31</c:f>
              <c:strCache>
                <c:ptCount val="1"/>
                <c:pt idx="0">
                  <c:v>q=0.09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Sheet1!$C$22:$G$22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Sheet1!$C$31:$G$31</c:f>
              <c:numCache>
                <c:formatCode>General</c:formatCode>
                <c:ptCount val="5"/>
                <c:pt idx="0">
                  <c:v>9.56</c:v>
                </c:pt>
                <c:pt idx="1">
                  <c:v>7.57</c:v>
                </c:pt>
                <c:pt idx="2">
                  <c:v>0.51</c:v>
                </c:pt>
                <c:pt idx="3">
                  <c:v>0.5</c:v>
                </c:pt>
                <c:pt idx="4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D0-4387-ACFB-85EB2496403E}"/>
            </c:ext>
          </c:extLst>
        </c:ser>
        <c:ser>
          <c:idx val="9"/>
          <c:order val="9"/>
          <c:tx>
            <c:strRef>
              <c:f>Sheet1!$B$32</c:f>
              <c:strCache>
                <c:ptCount val="1"/>
                <c:pt idx="0">
                  <c:v>q=0.10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Sheet1!$C$22:$G$22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Sheet1!$C$32:$G$32</c:f>
              <c:numCache>
                <c:formatCode>General</c:formatCode>
                <c:ptCount val="5"/>
                <c:pt idx="0">
                  <c:v>12.64</c:v>
                </c:pt>
                <c:pt idx="1">
                  <c:v>8.74</c:v>
                </c:pt>
                <c:pt idx="2">
                  <c:v>0.4</c:v>
                </c:pt>
                <c:pt idx="3">
                  <c:v>0.52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D0-4387-ACFB-85EB2496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260320"/>
        <c:axId val="649258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Sheet1!$B$23</c15:sqref>
                        </c15:formulaRef>
                      </c:ext>
                    </c:extLst>
                    <c:strCache>
                      <c:ptCount val="1"/>
                      <c:pt idx="0">
                        <c:v>q=0.01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Sheet1!$C$22:$G$22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0.9</c:v>
                      </c:pt>
                      <c:pt idx="2">
                        <c:v>0.8</c:v>
                      </c:pt>
                      <c:pt idx="3">
                        <c:v>0.70000000000000007</c:v>
                      </c:pt>
                      <c:pt idx="4">
                        <c:v>0.60000000000000009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Sheet1!$C$23:$G$23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0.05</c:v>
                      </c:pt>
                      <c:pt idx="1">
                        <c:v>0.04</c:v>
                      </c:pt>
                      <c:pt idx="2">
                        <c:v>0.03</c:v>
                      </c:pt>
                      <c:pt idx="3">
                        <c:v>0.01</c:v>
                      </c:pt>
                      <c:pt idx="4">
                        <c:v>0.02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D0-4387-ACFB-85EB2496403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Sheet1!$B$24</c15:sqref>
                        </c15:formulaRef>
                      </c:ext>
                    </c:extLst>
                    <c:strCache>
                      <c:ptCount val="1"/>
                      <c:pt idx="0">
                        <c:v>q=0.02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Sheet1!$C$22:$G$22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0.9</c:v>
                      </c:pt>
                      <c:pt idx="2">
                        <c:v>0.8</c:v>
                      </c:pt>
                      <c:pt idx="3">
                        <c:v>0.70000000000000007</c:v>
                      </c:pt>
                      <c:pt idx="4">
                        <c:v>0.60000000000000009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Sheet1!$C$24:$G$24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0.42</c:v>
                      </c:pt>
                      <c:pt idx="1">
                        <c:v>0.3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1D0-4387-ACFB-85EB2496403E}"/>
                  </c:ext>
                </c:extLst>
              </c15:ser>
            </c15:filteredLineSeries>
          </c:ext>
        </c:extLst>
      </c:lineChart>
      <c:catAx>
        <c:axId val="64926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threshold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58352"/>
        <c:crosses val="autoZero"/>
        <c:auto val="1"/>
        <c:lblAlgn val="ctr"/>
        <c:lblOffset val="100"/>
        <c:noMultiLvlLbl val="0"/>
      </c:catAx>
      <c:valAx>
        <c:axId val="64925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6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Sheet1!$B$40</c:f>
              <c:strCache>
                <c:ptCount val="1"/>
                <c:pt idx="0">
                  <c:v>q=0.03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Sheet1!$C$37:$G$37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Sheet1!$C$40:$G$40</c:f>
              <c:numCache>
                <c:formatCode>General</c:formatCode>
                <c:ptCount val="5"/>
                <c:pt idx="0">
                  <c:v>4.3</c:v>
                </c:pt>
                <c:pt idx="1">
                  <c:v>4.03</c:v>
                </c:pt>
                <c:pt idx="2">
                  <c:v>4.1900000000000004</c:v>
                </c:pt>
                <c:pt idx="3">
                  <c:v>3.63</c:v>
                </c:pt>
                <c:pt idx="4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04-4A7A-B965-561818AB5A91}"/>
            </c:ext>
          </c:extLst>
        </c:ser>
        <c:ser>
          <c:idx val="3"/>
          <c:order val="3"/>
          <c:tx>
            <c:strRef>
              <c:f>Sheet1!$B$41</c:f>
              <c:strCache>
                <c:ptCount val="1"/>
                <c:pt idx="0">
                  <c:v>q=0.04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Sheet1!$C$37:$G$37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Sheet1!$C$41:$G$41</c:f>
              <c:numCache>
                <c:formatCode>General</c:formatCode>
                <c:ptCount val="5"/>
                <c:pt idx="0">
                  <c:v>5.73</c:v>
                </c:pt>
                <c:pt idx="1">
                  <c:v>5.67</c:v>
                </c:pt>
                <c:pt idx="2">
                  <c:v>5.44</c:v>
                </c:pt>
                <c:pt idx="3">
                  <c:v>5.18</c:v>
                </c:pt>
                <c:pt idx="4">
                  <c:v>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04-4A7A-B965-561818AB5A91}"/>
            </c:ext>
          </c:extLst>
        </c:ser>
        <c:ser>
          <c:idx val="4"/>
          <c:order val="4"/>
          <c:tx>
            <c:strRef>
              <c:f>Sheet1!$B$42</c:f>
              <c:strCache>
                <c:ptCount val="1"/>
                <c:pt idx="0">
                  <c:v>q=0.05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Sheet1!$C$37:$G$37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Sheet1!$C$42:$G$42</c:f>
              <c:numCache>
                <c:formatCode>General</c:formatCode>
                <c:ptCount val="5"/>
                <c:pt idx="0">
                  <c:v>7.96</c:v>
                </c:pt>
                <c:pt idx="1">
                  <c:v>7.78</c:v>
                </c:pt>
                <c:pt idx="2">
                  <c:v>7.81</c:v>
                </c:pt>
                <c:pt idx="3">
                  <c:v>7.34</c:v>
                </c:pt>
                <c:pt idx="4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04-4A7A-B965-561818AB5A91}"/>
            </c:ext>
          </c:extLst>
        </c:ser>
        <c:ser>
          <c:idx val="5"/>
          <c:order val="5"/>
          <c:tx>
            <c:strRef>
              <c:f>Sheet1!$B$43</c:f>
              <c:strCache>
                <c:ptCount val="1"/>
                <c:pt idx="0">
                  <c:v>q=0.06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Sheet1!$C$37:$G$37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Sheet1!$C$43:$G$43</c:f>
              <c:numCache>
                <c:formatCode>General</c:formatCode>
                <c:ptCount val="5"/>
                <c:pt idx="0">
                  <c:v>9.93</c:v>
                </c:pt>
                <c:pt idx="1">
                  <c:v>9.98</c:v>
                </c:pt>
                <c:pt idx="2">
                  <c:v>9.83</c:v>
                </c:pt>
                <c:pt idx="3">
                  <c:v>9.6300000000000008</c:v>
                </c:pt>
                <c:pt idx="4">
                  <c:v>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04-4A7A-B965-561818AB5A91}"/>
            </c:ext>
          </c:extLst>
        </c:ser>
        <c:ser>
          <c:idx val="6"/>
          <c:order val="6"/>
          <c:tx>
            <c:strRef>
              <c:f>Sheet1!$B$44</c:f>
              <c:strCache>
                <c:ptCount val="1"/>
                <c:pt idx="0">
                  <c:v>q=0.07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Sheet1!$C$37:$G$37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Sheet1!$C$44:$G$44</c:f>
              <c:numCache>
                <c:formatCode>General</c:formatCode>
                <c:ptCount val="5"/>
                <c:pt idx="0">
                  <c:v>11.77</c:v>
                </c:pt>
                <c:pt idx="1">
                  <c:v>11.6</c:v>
                </c:pt>
                <c:pt idx="2">
                  <c:v>11.22</c:v>
                </c:pt>
                <c:pt idx="3">
                  <c:v>10.84</c:v>
                </c:pt>
                <c:pt idx="4">
                  <c:v>8.0399999999999991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04-4A7A-B965-561818AB5A91}"/>
            </c:ext>
          </c:extLst>
        </c:ser>
        <c:ser>
          <c:idx val="7"/>
          <c:order val="7"/>
          <c:tx>
            <c:strRef>
              <c:f>Sheet1!$B$45</c:f>
              <c:strCache>
                <c:ptCount val="1"/>
                <c:pt idx="0">
                  <c:v>q=0.08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Sheet1!$C$37:$G$37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Sheet1!$C$45:$G$45</c:f>
              <c:numCache>
                <c:formatCode>General</c:formatCode>
                <c:ptCount val="5"/>
                <c:pt idx="0">
                  <c:v>13.43</c:v>
                </c:pt>
                <c:pt idx="1">
                  <c:v>13.37</c:v>
                </c:pt>
                <c:pt idx="2">
                  <c:v>12.95</c:v>
                </c:pt>
                <c:pt idx="3">
                  <c:v>12.56</c:v>
                </c:pt>
                <c:pt idx="4">
                  <c:v>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04-4A7A-B965-561818AB5A91}"/>
            </c:ext>
          </c:extLst>
        </c:ser>
        <c:ser>
          <c:idx val="8"/>
          <c:order val="8"/>
          <c:tx>
            <c:strRef>
              <c:f>Sheet1!$B$46</c:f>
              <c:strCache>
                <c:ptCount val="1"/>
                <c:pt idx="0">
                  <c:v>q=0.09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Sheet1!$C$37:$G$37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Sheet1!$C$46:$G$46</c:f>
              <c:numCache>
                <c:formatCode>General</c:formatCode>
                <c:ptCount val="5"/>
                <c:pt idx="0">
                  <c:v>15.35</c:v>
                </c:pt>
                <c:pt idx="1">
                  <c:v>14.91</c:v>
                </c:pt>
                <c:pt idx="2">
                  <c:v>15.09</c:v>
                </c:pt>
                <c:pt idx="3">
                  <c:v>14.24</c:v>
                </c:pt>
                <c:pt idx="4">
                  <c:v>11.19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04-4A7A-B965-561818AB5A91}"/>
            </c:ext>
          </c:extLst>
        </c:ser>
        <c:ser>
          <c:idx val="9"/>
          <c:order val="9"/>
          <c:tx>
            <c:strRef>
              <c:f>Sheet1!$B$47</c:f>
              <c:strCache>
                <c:ptCount val="1"/>
                <c:pt idx="0">
                  <c:v>q=0.10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Sheet1!$C$37:$G$37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0.70000000000000007</c:v>
                </c:pt>
                <c:pt idx="4">
                  <c:v>0.60000000000000009</c:v>
                </c:pt>
              </c:numCache>
            </c:numRef>
          </c:cat>
          <c:val>
            <c:numRef>
              <c:f>Sheet1!$C$47:$G$47</c:f>
              <c:numCache>
                <c:formatCode>General</c:formatCode>
                <c:ptCount val="5"/>
                <c:pt idx="0">
                  <c:v>16.87</c:v>
                </c:pt>
                <c:pt idx="1">
                  <c:v>16.829999999999998</c:v>
                </c:pt>
                <c:pt idx="2">
                  <c:v>16.600000000000001</c:v>
                </c:pt>
                <c:pt idx="3">
                  <c:v>16.149999999999999</c:v>
                </c:pt>
                <c:pt idx="4">
                  <c:v>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04-4A7A-B965-561818AB5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271472"/>
        <c:axId val="649272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Sheet1!$B$38</c15:sqref>
                        </c15:formulaRef>
                      </c:ext>
                    </c:extLst>
                    <c:strCache>
                      <c:ptCount val="1"/>
                      <c:pt idx="0">
                        <c:v>q=0.01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Sheet1!$C$37:$G$37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0.9</c:v>
                      </c:pt>
                      <c:pt idx="2">
                        <c:v>0.8</c:v>
                      </c:pt>
                      <c:pt idx="3">
                        <c:v>0.70000000000000007</c:v>
                      </c:pt>
                      <c:pt idx="4">
                        <c:v>0.60000000000000009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Sheet1!$C$38:$G$38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0.59</c:v>
                      </c:pt>
                      <c:pt idx="1">
                        <c:v>0.45</c:v>
                      </c:pt>
                      <c:pt idx="2">
                        <c:v>0.49</c:v>
                      </c:pt>
                      <c:pt idx="3">
                        <c:v>0.37</c:v>
                      </c:pt>
                      <c:pt idx="4">
                        <c:v>0.17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504-4A7A-B965-561818AB5A9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Sheet1!$B$39</c15:sqref>
                        </c15:formulaRef>
                      </c:ext>
                    </c:extLst>
                    <c:strCache>
                      <c:ptCount val="1"/>
                      <c:pt idx="0">
                        <c:v>q=0.02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Sheet1!$C$37:$G$37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0.9</c:v>
                      </c:pt>
                      <c:pt idx="2">
                        <c:v>0.8</c:v>
                      </c:pt>
                      <c:pt idx="3">
                        <c:v>0.70000000000000007</c:v>
                      </c:pt>
                      <c:pt idx="4">
                        <c:v>0.60000000000000009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Sheet1!$C$39:$G$39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2.09</c:v>
                      </c:pt>
                      <c:pt idx="1">
                        <c:v>2.0099999999999998</c:v>
                      </c:pt>
                      <c:pt idx="2">
                        <c:v>1.94</c:v>
                      </c:pt>
                      <c:pt idx="3">
                        <c:v>1.88</c:v>
                      </c:pt>
                      <c:pt idx="4">
                        <c:v>1.18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504-4A7A-B965-561818AB5A91}"/>
                  </c:ext>
                </c:extLst>
              </c15:ser>
            </c15:filteredLineSeries>
          </c:ext>
        </c:extLst>
      </c:lineChart>
      <c:catAx>
        <c:axId val="64927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threshold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128"/>
        <c:crosses val="autoZero"/>
        <c:auto val="1"/>
        <c:lblAlgn val="ctr"/>
        <c:lblOffset val="100"/>
        <c:noMultiLvlLbl val="0"/>
      </c:catAx>
      <c:valAx>
        <c:axId val="6492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596153</xdr:colOff>
      <xdr:row>4</xdr:row>
      <xdr:rowOff>13447</xdr:rowOff>
    </xdr:from>
    <xdr:to>
      <xdr:col>14</xdr:col>
      <xdr:colOff>600635</xdr:colOff>
      <xdr:row>18</xdr:row>
      <xdr:rowOff>17929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253CD2-8998-1126-EE7C-507E99A98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605118</xdr:colOff>
      <xdr:row>20</xdr:row>
      <xdr:rowOff>4483</xdr:rowOff>
    </xdr:from>
    <xdr:to>
      <xdr:col>15</xdr:col>
      <xdr:colOff>0</xdr:colOff>
      <xdr:row>33</xdr:row>
      <xdr:rowOff>161364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DC59F93-0F1A-D6B8-4F40-BAD0918E9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4483</xdr:colOff>
      <xdr:row>35</xdr:row>
      <xdr:rowOff>13447</xdr:rowOff>
    </xdr:from>
    <xdr:to>
      <xdr:col>15</xdr:col>
      <xdr:colOff>0</xdr:colOff>
      <xdr:row>48</xdr:row>
      <xdr:rowOff>161365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B0DEFEE-B686-2B9D-B65E-00CCD0A53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47"/>
  <sheetViews>
    <sheetView tabSelected="1" topLeftCell="A34" zoomScale="70" zoomScaleNormal="70" workbookViewId="0">
      <selection activeCell="R41" sqref="R41"/>
    </sheetView>
  </sheetViews>
  <sheetFormatPr defaultRowHeight="14.4" x14ac:dyDescent="0.3"/>
  <sheetData>
    <row r="4" spans="2:7" x14ac:dyDescent="0.3">
      <c r="D4" s="4" t="s">
        <v>14</v>
      </c>
      <c r="E4" s="4"/>
    </row>
    <row r="5" spans="2:7" x14ac:dyDescent="0.3">
      <c r="B5" s="1" t="s">
        <v>0</v>
      </c>
      <c r="C5" s="1">
        <v>1</v>
      </c>
      <c r="D5" s="1">
        <f>C5-0.1</f>
        <v>0.9</v>
      </c>
      <c r="E5" s="1">
        <f>D5-0.1</f>
        <v>0.8</v>
      </c>
      <c r="F5" s="1">
        <f>E5-0.1</f>
        <v>0.70000000000000007</v>
      </c>
      <c r="G5" s="1">
        <f>F5-0.1</f>
        <v>0.60000000000000009</v>
      </c>
    </row>
    <row r="6" spans="2:7" x14ac:dyDescent="0.3">
      <c r="B6" s="1" t="s">
        <v>4</v>
      </c>
      <c r="C6" s="2">
        <v>1.41</v>
      </c>
      <c r="D6" s="2">
        <v>1.55</v>
      </c>
      <c r="E6" s="2">
        <v>1.51</v>
      </c>
      <c r="F6" s="2">
        <v>1.63</v>
      </c>
      <c r="G6" s="2">
        <v>1.83</v>
      </c>
    </row>
    <row r="7" spans="2:7" x14ac:dyDescent="0.3">
      <c r="B7" s="1" t="s">
        <v>5</v>
      </c>
      <c r="C7" s="2">
        <v>1.91</v>
      </c>
      <c r="D7" s="2">
        <v>1.99</v>
      </c>
      <c r="E7" s="2">
        <v>2.06</v>
      </c>
      <c r="F7" s="2">
        <v>2.12</v>
      </c>
      <c r="G7" s="2">
        <v>2.82</v>
      </c>
    </row>
    <row r="8" spans="2:7" x14ac:dyDescent="0.3">
      <c r="B8" s="1" t="s">
        <v>6</v>
      </c>
      <c r="C8" s="2">
        <v>1.7</v>
      </c>
      <c r="D8" s="2">
        <v>1.97</v>
      </c>
      <c r="E8" s="2">
        <v>1.81</v>
      </c>
      <c r="F8" s="2">
        <v>2.37</v>
      </c>
      <c r="G8" s="2">
        <v>3.35</v>
      </c>
    </row>
    <row r="9" spans="2:7" x14ac:dyDescent="0.3">
      <c r="B9" s="1" t="s">
        <v>7</v>
      </c>
      <c r="C9" s="2">
        <v>2.27</v>
      </c>
      <c r="D9" s="2">
        <v>2.33</v>
      </c>
      <c r="E9" s="2">
        <v>2.56</v>
      </c>
      <c r="F9" s="2">
        <v>2.82</v>
      </c>
      <c r="G9" s="2">
        <v>4.5599999999999996</v>
      </c>
    </row>
    <row r="10" spans="2:7" x14ac:dyDescent="0.3">
      <c r="B10" s="1" t="s">
        <v>8</v>
      </c>
      <c r="C10" s="2">
        <v>2.04</v>
      </c>
      <c r="D10" s="2">
        <v>2.2200000000000002</v>
      </c>
      <c r="E10" s="2">
        <v>2.19</v>
      </c>
      <c r="F10" s="2">
        <v>2.66</v>
      </c>
      <c r="G10" s="2">
        <v>4.68</v>
      </c>
    </row>
    <row r="11" spans="2:7" x14ac:dyDescent="0.3">
      <c r="B11" s="1" t="s">
        <v>9</v>
      </c>
      <c r="C11" s="2">
        <v>2.0699999999999998</v>
      </c>
      <c r="D11" s="2">
        <v>2.02</v>
      </c>
      <c r="E11" s="2">
        <v>2.17</v>
      </c>
      <c r="F11" s="2">
        <v>2.37</v>
      </c>
      <c r="G11" s="2">
        <v>4.88</v>
      </c>
    </row>
    <row r="12" spans="2:7" x14ac:dyDescent="0.3">
      <c r="B12" s="1" t="s">
        <v>10</v>
      </c>
      <c r="C12" s="2">
        <v>2.23</v>
      </c>
      <c r="D12" s="2">
        <v>2.4</v>
      </c>
      <c r="E12" s="2">
        <v>2.78</v>
      </c>
      <c r="F12" s="2">
        <v>3.16</v>
      </c>
      <c r="G12" s="2">
        <v>5.96</v>
      </c>
    </row>
    <row r="13" spans="2:7" x14ac:dyDescent="0.3">
      <c r="B13" s="1" t="s">
        <v>11</v>
      </c>
      <c r="C13" s="2">
        <v>2.57</v>
      </c>
      <c r="D13" s="2">
        <v>2.63</v>
      </c>
      <c r="E13" s="2">
        <v>3.05</v>
      </c>
      <c r="F13" s="2">
        <v>3.44</v>
      </c>
      <c r="G13" s="2">
        <v>6.17</v>
      </c>
    </row>
    <row r="14" spans="2:7" x14ac:dyDescent="0.3">
      <c r="B14" s="1" t="s">
        <v>12</v>
      </c>
      <c r="C14" s="2">
        <v>2.65</v>
      </c>
      <c r="D14" s="2">
        <v>3.09</v>
      </c>
      <c r="E14" s="2">
        <v>2.91</v>
      </c>
      <c r="F14" s="2">
        <v>3.76</v>
      </c>
      <c r="G14" s="2">
        <v>6.81</v>
      </c>
    </row>
    <row r="15" spans="2:7" x14ac:dyDescent="0.3">
      <c r="B15" s="1" t="s">
        <v>13</v>
      </c>
      <c r="C15" s="2">
        <v>3.13</v>
      </c>
      <c r="D15" s="2">
        <v>3.17</v>
      </c>
      <c r="E15" s="2">
        <v>3.4</v>
      </c>
      <c r="F15" s="2">
        <v>3.85</v>
      </c>
      <c r="G15" s="2">
        <v>7.85</v>
      </c>
    </row>
    <row r="21" spans="2:7" x14ac:dyDescent="0.3">
      <c r="D21" s="4" t="s">
        <v>14</v>
      </c>
      <c r="E21" s="4"/>
    </row>
    <row r="22" spans="2:7" x14ac:dyDescent="0.3">
      <c r="B22" s="1" t="s">
        <v>1</v>
      </c>
      <c r="C22" s="1">
        <v>1</v>
      </c>
      <c r="D22" s="1">
        <f>C22-0.1</f>
        <v>0.9</v>
      </c>
      <c r="E22" s="1">
        <f>D22-0.1</f>
        <v>0.8</v>
      </c>
      <c r="F22" s="1">
        <f>E22-0.1</f>
        <v>0.70000000000000007</v>
      </c>
      <c r="G22" s="1">
        <f>F22-0.1</f>
        <v>0.60000000000000009</v>
      </c>
    </row>
    <row r="23" spans="2:7" x14ac:dyDescent="0.3">
      <c r="B23" s="1" t="s">
        <v>4</v>
      </c>
      <c r="C23">
        <v>0.05</v>
      </c>
      <c r="D23">
        <v>0.04</v>
      </c>
      <c r="E23">
        <v>0.03</v>
      </c>
      <c r="F23">
        <v>0.01</v>
      </c>
      <c r="G23">
        <v>0.02</v>
      </c>
    </row>
    <row r="24" spans="2:7" x14ac:dyDescent="0.3">
      <c r="B24" s="1" t="s">
        <v>5</v>
      </c>
      <c r="C24">
        <v>0.42</v>
      </c>
      <c r="D24">
        <v>0.3</v>
      </c>
      <c r="E24">
        <v>7.0000000000000007E-2</v>
      </c>
      <c r="F24">
        <v>7.0000000000000007E-2</v>
      </c>
      <c r="G24">
        <v>7.0000000000000007E-2</v>
      </c>
    </row>
    <row r="25" spans="2:7" x14ac:dyDescent="0.3">
      <c r="B25" s="1" t="s">
        <v>6</v>
      </c>
      <c r="C25">
        <v>1.0900000000000001</v>
      </c>
      <c r="D25">
        <v>0.9</v>
      </c>
      <c r="E25">
        <v>0.3</v>
      </c>
      <c r="F25">
        <v>0.14000000000000001</v>
      </c>
      <c r="G25">
        <v>0.11</v>
      </c>
    </row>
    <row r="26" spans="2:7" x14ac:dyDescent="0.3">
      <c r="B26" s="1" t="s">
        <v>7</v>
      </c>
      <c r="C26">
        <v>2.17</v>
      </c>
      <c r="D26">
        <v>1.23</v>
      </c>
      <c r="E26">
        <v>0.2</v>
      </c>
      <c r="F26">
        <v>0.19</v>
      </c>
      <c r="G26">
        <v>0.22</v>
      </c>
    </row>
    <row r="27" spans="2:7" x14ac:dyDescent="0.3">
      <c r="B27" s="1" t="s">
        <v>8</v>
      </c>
      <c r="C27">
        <v>3.65</v>
      </c>
      <c r="D27">
        <v>1.26</v>
      </c>
      <c r="E27">
        <v>0.25</v>
      </c>
      <c r="F27">
        <v>0.26</v>
      </c>
      <c r="G27">
        <v>0.28999999999999998</v>
      </c>
    </row>
    <row r="28" spans="2:7" x14ac:dyDescent="0.3">
      <c r="B28" s="1" t="s">
        <v>9</v>
      </c>
      <c r="C28">
        <v>5.2</v>
      </c>
      <c r="D28">
        <v>2.33</v>
      </c>
      <c r="E28">
        <v>0.45</v>
      </c>
      <c r="F28">
        <v>0.43</v>
      </c>
      <c r="G28">
        <v>0.3</v>
      </c>
    </row>
    <row r="29" spans="2:7" x14ac:dyDescent="0.3">
      <c r="B29" s="1" t="s">
        <v>10</v>
      </c>
      <c r="C29">
        <v>6.05</v>
      </c>
      <c r="D29">
        <v>3.41</v>
      </c>
      <c r="E29">
        <v>0.41</v>
      </c>
      <c r="F29">
        <v>0.46</v>
      </c>
      <c r="G29">
        <v>0.34</v>
      </c>
    </row>
    <row r="30" spans="2:7" x14ac:dyDescent="0.3">
      <c r="B30" s="1" t="s">
        <v>11</v>
      </c>
      <c r="C30">
        <v>8.69</v>
      </c>
      <c r="D30">
        <v>5.49</v>
      </c>
      <c r="E30">
        <v>0.5</v>
      </c>
      <c r="F30">
        <v>0.51</v>
      </c>
      <c r="G30">
        <v>0.46</v>
      </c>
    </row>
    <row r="31" spans="2:7" x14ac:dyDescent="0.3">
      <c r="B31" s="1" t="s">
        <v>12</v>
      </c>
      <c r="C31">
        <v>9.56</v>
      </c>
      <c r="D31">
        <v>7.57</v>
      </c>
      <c r="E31">
        <v>0.51</v>
      </c>
      <c r="F31">
        <v>0.5</v>
      </c>
      <c r="G31">
        <v>0.43</v>
      </c>
    </row>
    <row r="32" spans="2:7" x14ac:dyDescent="0.3">
      <c r="B32" s="1" t="s">
        <v>13</v>
      </c>
      <c r="C32">
        <v>12.64</v>
      </c>
      <c r="D32">
        <v>8.74</v>
      </c>
      <c r="E32">
        <v>0.4</v>
      </c>
      <c r="F32">
        <v>0.52</v>
      </c>
      <c r="G32">
        <v>0.6</v>
      </c>
    </row>
    <row r="36" spans="2:7" x14ac:dyDescent="0.3">
      <c r="D36" s="4" t="s">
        <v>14</v>
      </c>
      <c r="E36" s="4"/>
    </row>
    <row r="37" spans="2:7" x14ac:dyDescent="0.3">
      <c r="B37" s="1" t="s">
        <v>2</v>
      </c>
      <c r="C37" s="1">
        <v>1</v>
      </c>
      <c r="D37" s="1">
        <f>C37-0.1</f>
        <v>0.9</v>
      </c>
      <c r="E37" s="1">
        <f>D37-0.1</f>
        <v>0.8</v>
      </c>
      <c r="F37" s="1">
        <f>E37-0.1</f>
        <v>0.70000000000000007</v>
      </c>
      <c r="G37" s="1">
        <f>F37-0.1</f>
        <v>0.60000000000000009</v>
      </c>
    </row>
    <row r="38" spans="2:7" x14ac:dyDescent="0.3">
      <c r="B38" s="1" t="s">
        <v>4</v>
      </c>
      <c r="C38">
        <v>0.59</v>
      </c>
      <c r="D38">
        <v>0.45</v>
      </c>
      <c r="E38">
        <v>0.49</v>
      </c>
      <c r="F38">
        <v>0.37</v>
      </c>
      <c r="G38">
        <v>0.17</v>
      </c>
    </row>
    <row r="39" spans="2:7" x14ac:dyDescent="0.3">
      <c r="B39" s="1" t="s">
        <v>5</v>
      </c>
      <c r="C39">
        <v>2.09</v>
      </c>
      <c r="D39">
        <v>2.0099999999999998</v>
      </c>
      <c r="E39">
        <v>1.94</v>
      </c>
      <c r="F39">
        <v>1.88</v>
      </c>
      <c r="G39">
        <v>1.18</v>
      </c>
    </row>
    <row r="40" spans="2:7" x14ac:dyDescent="0.3">
      <c r="B40" s="1" t="s">
        <v>6</v>
      </c>
      <c r="C40">
        <v>4.3</v>
      </c>
      <c r="D40">
        <v>4.03</v>
      </c>
      <c r="E40">
        <v>4.1900000000000004</v>
      </c>
      <c r="F40">
        <v>3.63</v>
      </c>
      <c r="G40">
        <v>2.65</v>
      </c>
    </row>
    <row r="41" spans="2:7" x14ac:dyDescent="0.3">
      <c r="B41" s="1" t="s">
        <v>7</v>
      </c>
      <c r="C41">
        <v>5.73</v>
      </c>
      <c r="D41">
        <v>5.67</v>
      </c>
      <c r="E41">
        <v>5.44</v>
      </c>
      <c r="F41">
        <v>5.18</v>
      </c>
      <c r="G41">
        <v>3.44</v>
      </c>
    </row>
    <row r="42" spans="2:7" x14ac:dyDescent="0.3">
      <c r="B42" s="1" t="s">
        <v>8</v>
      </c>
      <c r="C42">
        <v>7.96</v>
      </c>
      <c r="D42">
        <v>7.78</v>
      </c>
      <c r="E42">
        <v>7.81</v>
      </c>
      <c r="F42">
        <v>7.34</v>
      </c>
      <c r="G42">
        <v>5.32</v>
      </c>
    </row>
    <row r="43" spans="2:7" x14ac:dyDescent="0.3">
      <c r="B43" s="1" t="s">
        <v>9</v>
      </c>
      <c r="C43">
        <v>9.93</v>
      </c>
      <c r="D43">
        <v>9.98</v>
      </c>
      <c r="E43">
        <v>9.83</v>
      </c>
      <c r="F43">
        <v>9.6300000000000008</v>
      </c>
      <c r="G43">
        <v>7.12</v>
      </c>
    </row>
    <row r="44" spans="2:7" x14ac:dyDescent="0.3">
      <c r="B44" s="1" t="s">
        <v>10</v>
      </c>
      <c r="C44">
        <v>11.77</v>
      </c>
      <c r="D44">
        <v>11.6</v>
      </c>
      <c r="E44">
        <v>11.22</v>
      </c>
      <c r="F44">
        <v>10.84</v>
      </c>
      <c r="G44">
        <v>8.0399999999999991</v>
      </c>
    </row>
    <row r="45" spans="2:7" x14ac:dyDescent="0.3">
      <c r="B45" s="1" t="s">
        <v>11</v>
      </c>
      <c r="C45">
        <v>13.43</v>
      </c>
      <c r="D45">
        <v>13.37</v>
      </c>
      <c r="E45">
        <v>12.95</v>
      </c>
      <c r="F45">
        <v>12.56</v>
      </c>
      <c r="G45">
        <v>9.83</v>
      </c>
    </row>
    <row r="46" spans="2:7" x14ac:dyDescent="0.3">
      <c r="B46" s="1" t="s">
        <v>12</v>
      </c>
      <c r="C46">
        <v>15.35</v>
      </c>
      <c r="D46">
        <v>14.91</v>
      </c>
      <c r="E46">
        <v>15.09</v>
      </c>
      <c r="F46">
        <v>14.24</v>
      </c>
      <c r="G46">
        <v>11.19</v>
      </c>
    </row>
    <row r="47" spans="2:7" x14ac:dyDescent="0.3">
      <c r="B47" s="1" t="s">
        <v>13</v>
      </c>
      <c r="C47">
        <v>16.87</v>
      </c>
      <c r="D47">
        <v>16.829999999999998</v>
      </c>
      <c r="E47">
        <v>16.600000000000001</v>
      </c>
      <c r="F47">
        <v>16.149999999999999</v>
      </c>
      <c r="G47">
        <v>12.15</v>
      </c>
    </row>
  </sheetData>
  <mergeCells count="3">
    <mergeCell ref="D4:E4"/>
    <mergeCell ref="D21:E21"/>
    <mergeCell ref="D36:E3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4D0B-3F03-4D95-BB48-5486E809DDC7}">
  <dimension ref="A1:M62"/>
  <sheetViews>
    <sheetView workbookViewId="0"/>
  </sheetViews>
  <sheetFormatPr defaultRowHeight="14.4" x14ac:dyDescent="0.3"/>
  <sheetData>
    <row r="1" spans="1:13" x14ac:dyDescent="0.3">
      <c r="A1" s="3" t="e">
        <f>Sheet1!#REF!</f>
        <v>#REF!</v>
      </c>
      <c r="B1" s="3" t="e">
        <f>MAX(Sheet1!#REF!)+MAX(Sheet1!#REF!)/10</f>
        <v>#REF!</v>
      </c>
      <c r="C1" s="3" t="e">
        <f>Sheet1!#REF!</f>
        <v>#REF!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3" t="e">
        <f>Sheet1!#REF!</f>
        <v>#REF!</v>
      </c>
      <c r="B2" s="3" t="e">
        <f>MAX(Sheet1!#REF!)+MAX(Sheet1!#REF!)/10</f>
        <v>#REF!</v>
      </c>
      <c r="C2" s="3" t="e">
        <f>Sheet1!#REF!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3" t="e">
        <f>Sheet1!#REF!</f>
        <v>#REF!</v>
      </c>
      <c r="B3" s="3" t="e">
        <f>MAX(Sheet1!#REF!)+MAX(Sheet1!#REF!)/10</f>
        <v>#REF!</v>
      </c>
      <c r="C3" s="3" t="e">
        <f>Sheet1!#REF!</f>
        <v>#REF!</v>
      </c>
      <c r="D3" s="3"/>
      <c r="E3" s="3"/>
      <c r="F3" s="3"/>
      <c r="G3" s="3"/>
      <c r="H3" s="3"/>
      <c r="I3" s="3"/>
      <c r="J3" s="3"/>
      <c r="K3" s="3"/>
      <c r="L3" s="3"/>
      <c r="M3" s="3" t="e">
        <f>Sheet1!#REF!</f>
        <v>#REF!</v>
      </c>
    </row>
    <row r="4" spans="1:13" x14ac:dyDescent="0.3">
      <c r="A4" s="3" t="e">
        <f>Sheet1!#REF!</f>
        <v>#REF!</v>
      </c>
      <c r="B4" s="3" t="e">
        <f>MAX(Sheet1!#REF!)+MAX(Sheet1!#REF!)/10</f>
        <v>#REF!</v>
      </c>
      <c r="C4" s="3" t="e">
        <f>Sheet1!#REF!</f>
        <v>#REF!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3" t="e">
        <f>Sheet1!#REF!</f>
        <v>#REF!</v>
      </c>
      <c r="B5" s="3" t="e">
        <f>MAX(Sheet1!#REF!)+MAX(Sheet1!#REF!)/10</f>
        <v>#REF!</v>
      </c>
      <c r="C5" s="3" t="e">
        <f>Sheet1!#REF!</f>
        <v>#REF!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3" t="e">
        <f>Sheet1!#REF!</f>
        <v>#REF!</v>
      </c>
      <c r="B7" s="3" t="e">
        <f>MAX(Sheet1!#REF!)+MAX(Sheet1!#REF!)/10</f>
        <v>#REF!</v>
      </c>
      <c r="C7" s="3"/>
      <c r="D7" s="3" t="e">
        <f>Sheet1!#REF!</f>
        <v>#REF!</v>
      </c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3" t="e">
        <f>Sheet1!#REF!</f>
        <v>#REF!</v>
      </c>
      <c r="B8" s="3" t="e">
        <f>MAX(Sheet1!#REF!)+MAX(Sheet1!#REF!)/10</f>
        <v>#REF!</v>
      </c>
      <c r="C8" s="3"/>
      <c r="D8" s="3" t="e">
        <f>Sheet1!#REF!</f>
        <v>#REF!</v>
      </c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3" t="e">
        <f>Sheet1!#REF!</f>
        <v>#REF!</v>
      </c>
      <c r="B9" s="3" t="e">
        <f>MAX(Sheet1!#REF!)+MAX(Sheet1!#REF!)/10</f>
        <v>#REF!</v>
      </c>
      <c r="C9" s="3"/>
      <c r="D9" s="3" t="e">
        <f>Sheet1!#REF!</f>
        <v>#REF!</v>
      </c>
      <c r="E9" s="3"/>
      <c r="F9" s="3"/>
      <c r="G9" s="3"/>
      <c r="H9" s="3"/>
      <c r="I9" s="3"/>
      <c r="J9" s="3"/>
      <c r="K9" s="3"/>
      <c r="L9" s="3"/>
      <c r="M9" s="3" t="e">
        <f>Sheet1!#REF!</f>
        <v>#REF!</v>
      </c>
    </row>
    <row r="10" spans="1:13" x14ac:dyDescent="0.3">
      <c r="A10" s="3" t="e">
        <f>Sheet1!#REF!</f>
        <v>#REF!</v>
      </c>
      <c r="B10" s="3" t="e">
        <f>MAX(Sheet1!#REF!)+MAX(Sheet1!#REF!)/10</f>
        <v>#REF!</v>
      </c>
      <c r="C10" s="3"/>
      <c r="D10" s="3" t="e">
        <f>Sheet1!#REF!</f>
        <v>#REF!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3" t="e">
        <f>Sheet1!#REF!</f>
        <v>#REF!</v>
      </c>
      <c r="B11" s="3" t="e">
        <f>MAX(Sheet1!#REF!)+MAX(Sheet1!#REF!)/10</f>
        <v>#REF!</v>
      </c>
      <c r="C11" s="3"/>
      <c r="D11" s="3" t="e">
        <f>Sheet1!#REF!</f>
        <v>#REF!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3" t="e">
        <f>Sheet1!#REF!</f>
        <v>#REF!</v>
      </c>
      <c r="B13" s="3" t="e">
        <f>MAX(Sheet1!#REF!)+MAX(Sheet1!#REF!)/10</f>
        <v>#REF!</v>
      </c>
      <c r="C13" s="3"/>
      <c r="D13" s="3"/>
      <c r="E13" s="3" t="e">
        <f>Sheet1!#REF!</f>
        <v>#REF!</v>
      </c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3" t="e">
        <f>Sheet1!#REF!</f>
        <v>#REF!</v>
      </c>
      <c r="B14" s="3" t="e">
        <f>MAX(Sheet1!#REF!)+MAX(Sheet1!#REF!)/10</f>
        <v>#REF!</v>
      </c>
      <c r="C14" s="3"/>
      <c r="D14" s="3"/>
      <c r="E14" s="3" t="e">
        <f>Sheet1!#REF!</f>
        <v>#REF!</v>
      </c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3" t="e">
        <f>Sheet1!#REF!</f>
        <v>#REF!</v>
      </c>
      <c r="B15" s="3" t="e">
        <f>MAX(Sheet1!#REF!)+MAX(Sheet1!#REF!)/10</f>
        <v>#REF!</v>
      </c>
      <c r="C15" s="3"/>
      <c r="D15" s="3"/>
      <c r="E15" s="3" t="e">
        <f>Sheet1!#REF!</f>
        <v>#REF!</v>
      </c>
      <c r="F15" s="3"/>
      <c r="G15" s="3"/>
      <c r="H15" s="3"/>
      <c r="I15" s="3"/>
      <c r="J15" s="3"/>
      <c r="K15" s="3"/>
      <c r="L15" s="3"/>
      <c r="M15" s="3" t="e">
        <f>Sheet1!#REF!</f>
        <v>#REF!</v>
      </c>
    </row>
    <row r="16" spans="1:13" x14ac:dyDescent="0.3">
      <c r="A16" s="3" t="e">
        <f>Sheet1!#REF!</f>
        <v>#REF!</v>
      </c>
      <c r="B16" s="3" t="e">
        <f>MAX(Sheet1!#REF!)+MAX(Sheet1!#REF!)/10</f>
        <v>#REF!</v>
      </c>
      <c r="C16" s="3"/>
      <c r="D16" s="3"/>
      <c r="E16" s="3" t="e">
        <f>Sheet1!#REF!</f>
        <v>#REF!</v>
      </c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3" t="e">
        <f>Sheet1!#REF!</f>
        <v>#REF!</v>
      </c>
      <c r="B17" s="3" t="e">
        <f>MAX(Sheet1!#REF!)+MAX(Sheet1!#REF!)/10</f>
        <v>#REF!</v>
      </c>
      <c r="C17" s="3"/>
      <c r="D17" s="3"/>
      <c r="E17" s="3" t="e">
        <f>Sheet1!#REF!</f>
        <v>#REF!</v>
      </c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3" t="e">
        <f>Sheet1!#REF!</f>
        <v>#REF!</v>
      </c>
      <c r="B19" s="3" t="e">
        <f>MAX(Sheet1!#REF!)+MAX(Sheet1!#REF!)/10</f>
        <v>#REF!</v>
      </c>
      <c r="C19" s="3"/>
      <c r="D19" s="3"/>
      <c r="E19" s="3"/>
      <c r="F19" s="3" t="e">
        <f>Sheet1!#REF!</f>
        <v>#REF!</v>
      </c>
      <c r="G19" s="3"/>
      <c r="H19" s="3"/>
      <c r="I19" s="3"/>
      <c r="J19" s="3"/>
      <c r="K19" s="3"/>
      <c r="L19" s="3"/>
      <c r="M19" s="3"/>
    </row>
    <row r="20" spans="1:13" x14ac:dyDescent="0.3">
      <c r="A20" s="3" t="e">
        <f>Sheet1!#REF!</f>
        <v>#REF!</v>
      </c>
      <c r="B20" s="3" t="e">
        <f>MAX(Sheet1!#REF!)+MAX(Sheet1!#REF!)/10</f>
        <v>#REF!</v>
      </c>
      <c r="C20" s="3"/>
      <c r="D20" s="3"/>
      <c r="E20" s="3"/>
      <c r="F20" s="3" t="e">
        <f>Sheet1!#REF!</f>
        <v>#REF!</v>
      </c>
      <c r="G20" s="3"/>
      <c r="H20" s="3"/>
      <c r="I20" s="3"/>
      <c r="J20" s="3"/>
      <c r="K20" s="3"/>
      <c r="L20" s="3"/>
      <c r="M20" s="3"/>
    </row>
    <row r="21" spans="1:13" x14ac:dyDescent="0.3">
      <c r="A21" s="3" t="e">
        <f>Sheet1!#REF!</f>
        <v>#REF!</v>
      </c>
      <c r="B21" s="3" t="e">
        <f>MAX(Sheet1!#REF!)+MAX(Sheet1!#REF!)/10</f>
        <v>#REF!</v>
      </c>
      <c r="C21" s="3"/>
      <c r="D21" s="3"/>
      <c r="E21" s="3"/>
      <c r="F21" s="3" t="e">
        <f>Sheet1!#REF!</f>
        <v>#REF!</v>
      </c>
      <c r="G21" s="3"/>
      <c r="H21" s="3"/>
      <c r="I21" s="3"/>
      <c r="J21" s="3"/>
      <c r="K21" s="3"/>
      <c r="L21" s="3"/>
      <c r="M21" s="3" t="e">
        <f>Sheet1!#REF!</f>
        <v>#REF!</v>
      </c>
    </row>
    <row r="22" spans="1:13" x14ac:dyDescent="0.3">
      <c r="A22" s="3" t="e">
        <f>Sheet1!#REF!</f>
        <v>#REF!</v>
      </c>
      <c r="B22" s="3" t="e">
        <f>MAX(Sheet1!#REF!)+MAX(Sheet1!#REF!)/10</f>
        <v>#REF!</v>
      </c>
      <c r="C22" s="3"/>
      <c r="D22" s="3"/>
      <c r="E22" s="3"/>
      <c r="F22" s="3" t="e">
        <f>Sheet1!#REF!</f>
        <v>#REF!</v>
      </c>
      <c r="G22" s="3"/>
      <c r="H22" s="3"/>
      <c r="I22" s="3"/>
      <c r="J22" s="3"/>
      <c r="K22" s="3"/>
      <c r="L22" s="3"/>
      <c r="M22" s="3"/>
    </row>
    <row r="23" spans="1:13" x14ac:dyDescent="0.3">
      <c r="A23" s="3" t="e">
        <f>Sheet1!#REF!</f>
        <v>#REF!</v>
      </c>
      <c r="B23" s="3" t="e">
        <f>MAX(Sheet1!#REF!)+MAX(Sheet1!#REF!)/10</f>
        <v>#REF!</v>
      </c>
      <c r="C23" s="3"/>
      <c r="D23" s="3"/>
      <c r="E23" s="3"/>
      <c r="F23" s="3" t="e">
        <f>Sheet1!#REF!</f>
        <v>#REF!</v>
      </c>
      <c r="G23" s="3"/>
      <c r="H23" s="3"/>
      <c r="I23" s="3"/>
      <c r="J23" s="3"/>
      <c r="K23" s="3"/>
      <c r="L23" s="3"/>
      <c r="M23" s="3"/>
    </row>
    <row r="24" spans="1:1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 t="e">
        <f>Sheet1!#REF!</f>
        <v>#REF!</v>
      </c>
      <c r="B25" s="3" t="e">
        <f>MAX(Sheet1!#REF!)+MAX(Sheet1!#REF!)/10</f>
        <v>#REF!</v>
      </c>
      <c r="C25" s="3"/>
      <c r="D25" s="3"/>
      <c r="E25" s="3"/>
      <c r="F25" s="3"/>
      <c r="G25" s="3" t="e">
        <f>Sheet1!#REF!</f>
        <v>#REF!</v>
      </c>
      <c r="H25" s="3"/>
      <c r="I25" s="3"/>
      <c r="J25" s="3"/>
      <c r="K25" s="3"/>
      <c r="L25" s="3"/>
      <c r="M25" s="3"/>
    </row>
    <row r="26" spans="1:13" x14ac:dyDescent="0.3">
      <c r="A26" s="3" t="e">
        <f>Sheet1!#REF!</f>
        <v>#REF!</v>
      </c>
      <c r="B26" s="3" t="e">
        <f>MAX(Sheet1!#REF!)+MAX(Sheet1!#REF!)/10</f>
        <v>#REF!</v>
      </c>
      <c r="C26" s="3"/>
      <c r="D26" s="3"/>
      <c r="E26" s="3"/>
      <c r="F26" s="3"/>
      <c r="G26" s="3" t="e">
        <f>Sheet1!#REF!</f>
        <v>#REF!</v>
      </c>
      <c r="H26" s="3"/>
      <c r="I26" s="3"/>
      <c r="J26" s="3"/>
      <c r="K26" s="3"/>
      <c r="L26" s="3"/>
      <c r="M26" s="3"/>
    </row>
    <row r="27" spans="1:13" x14ac:dyDescent="0.3">
      <c r="A27" s="3" t="e">
        <f>Sheet1!#REF!</f>
        <v>#REF!</v>
      </c>
      <c r="B27" s="3" t="e">
        <f>MAX(Sheet1!#REF!)+MAX(Sheet1!#REF!)/10</f>
        <v>#REF!</v>
      </c>
      <c r="C27" s="3"/>
      <c r="D27" s="3"/>
      <c r="E27" s="3"/>
      <c r="F27" s="3"/>
      <c r="G27" s="3" t="e">
        <f>Sheet1!#REF!</f>
        <v>#REF!</v>
      </c>
      <c r="H27" s="3"/>
      <c r="I27" s="3"/>
      <c r="J27" s="3"/>
      <c r="K27" s="3"/>
      <c r="L27" s="3"/>
      <c r="M27" s="3" t="e">
        <f>Sheet1!#REF!</f>
        <v>#REF!</v>
      </c>
    </row>
    <row r="28" spans="1:13" x14ac:dyDescent="0.3">
      <c r="A28" s="3" t="e">
        <f>Sheet1!#REF!</f>
        <v>#REF!</v>
      </c>
      <c r="B28" s="3" t="e">
        <f>MAX(Sheet1!#REF!)+MAX(Sheet1!#REF!)/10</f>
        <v>#REF!</v>
      </c>
      <c r="C28" s="3"/>
      <c r="D28" s="3"/>
      <c r="E28" s="3"/>
      <c r="F28" s="3"/>
      <c r="G28" s="3" t="e">
        <f>Sheet1!#REF!</f>
        <v>#REF!</v>
      </c>
      <c r="H28" s="3"/>
      <c r="I28" s="3"/>
      <c r="J28" s="3"/>
      <c r="K28" s="3"/>
      <c r="L28" s="3"/>
      <c r="M28" s="3"/>
    </row>
    <row r="29" spans="1:13" x14ac:dyDescent="0.3">
      <c r="A29" s="3" t="e">
        <f>Sheet1!#REF!</f>
        <v>#REF!</v>
      </c>
      <c r="B29" s="3" t="e">
        <f>MAX(Sheet1!#REF!)+MAX(Sheet1!#REF!)/10</f>
        <v>#REF!</v>
      </c>
      <c r="C29" s="3"/>
      <c r="D29" s="3"/>
      <c r="E29" s="3"/>
      <c r="F29" s="3"/>
      <c r="G29" s="3" t="e">
        <f>Sheet1!#REF!</f>
        <v>#REF!</v>
      </c>
      <c r="H29" s="3"/>
      <c r="I29" s="3"/>
      <c r="J29" s="3"/>
      <c r="K29" s="3"/>
      <c r="L29" s="3"/>
      <c r="M29" s="3"/>
    </row>
    <row r="30" spans="1:1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3" t="e">
        <f>Sheet1!#REF!</f>
        <v>#REF!</v>
      </c>
      <c r="B31" s="3" t="e">
        <f>MAX(Sheet1!#REF!)+MAX(Sheet1!#REF!)/10</f>
        <v>#REF!</v>
      </c>
      <c r="C31" s="3"/>
      <c r="D31" s="3"/>
      <c r="E31" s="3"/>
      <c r="F31" s="3"/>
      <c r="G31" s="3"/>
      <c r="H31" s="3" t="e">
        <f>Sheet1!#REF!</f>
        <v>#REF!</v>
      </c>
      <c r="I31" s="3"/>
      <c r="J31" s="3"/>
      <c r="K31" s="3"/>
      <c r="L31" s="3"/>
      <c r="M31" s="3"/>
    </row>
    <row r="32" spans="1:13" x14ac:dyDescent="0.3">
      <c r="A32" s="3" t="e">
        <f>Sheet1!#REF!</f>
        <v>#REF!</v>
      </c>
      <c r="B32" s="3" t="e">
        <f>MAX(Sheet1!#REF!)+MAX(Sheet1!#REF!)/10</f>
        <v>#REF!</v>
      </c>
      <c r="C32" s="3"/>
      <c r="D32" s="3"/>
      <c r="E32" s="3"/>
      <c r="F32" s="3"/>
      <c r="G32" s="3"/>
      <c r="H32" s="3" t="e">
        <f>Sheet1!#REF!</f>
        <v>#REF!</v>
      </c>
      <c r="I32" s="3"/>
      <c r="J32" s="3"/>
      <c r="K32" s="3"/>
      <c r="L32" s="3"/>
      <c r="M32" s="3"/>
    </row>
    <row r="33" spans="1:13" x14ac:dyDescent="0.3">
      <c r="A33" s="3" t="e">
        <f>Sheet1!#REF!</f>
        <v>#REF!</v>
      </c>
      <c r="B33" s="3" t="e">
        <f>MAX(Sheet1!#REF!)+MAX(Sheet1!#REF!)/10</f>
        <v>#REF!</v>
      </c>
      <c r="C33" s="3"/>
      <c r="D33" s="3"/>
      <c r="E33" s="3"/>
      <c r="F33" s="3"/>
      <c r="G33" s="3"/>
      <c r="H33" s="3" t="e">
        <f>Sheet1!#REF!</f>
        <v>#REF!</v>
      </c>
      <c r="I33" s="3"/>
      <c r="J33" s="3"/>
      <c r="K33" s="3"/>
      <c r="L33" s="3"/>
      <c r="M33" s="3" t="e">
        <f>Sheet1!#REF!</f>
        <v>#REF!</v>
      </c>
    </row>
    <row r="34" spans="1:13" x14ac:dyDescent="0.3">
      <c r="A34" s="3" t="e">
        <f>Sheet1!#REF!</f>
        <v>#REF!</v>
      </c>
      <c r="B34" s="3" t="e">
        <f>MAX(Sheet1!#REF!)+MAX(Sheet1!#REF!)/10</f>
        <v>#REF!</v>
      </c>
      <c r="C34" s="3"/>
      <c r="D34" s="3"/>
      <c r="E34" s="3"/>
      <c r="F34" s="3"/>
      <c r="G34" s="3"/>
      <c r="H34" s="3" t="e">
        <f>Sheet1!#REF!</f>
        <v>#REF!</v>
      </c>
      <c r="I34" s="3"/>
      <c r="J34" s="3"/>
      <c r="K34" s="3"/>
      <c r="L34" s="3"/>
      <c r="M34" s="3"/>
    </row>
    <row r="35" spans="1:13" x14ac:dyDescent="0.3">
      <c r="A35" s="3" t="e">
        <f>Sheet1!#REF!</f>
        <v>#REF!</v>
      </c>
      <c r="B35" s="3" t="e">
        <f>MAX(Sheet1!#REF!)+MAX(Sheet1!#REF!)/10</f>
        <v>#REF!</v>
      </c>
      <c r="C35" s="3"/>
      <c r="D35" s="3"/>
      <c r="E35" s="3"/>
      <c r="F35" s="3"/>
      <c r="G35" s="3"/>
      <c r="H35" s="3" t="e">
        <f>Sheet1!#REF!</f>
        <v>#REF!</v>
      </c>
      <c r="I35" s="3"/>
      <c r="J35" s="3"/>
      <c r="K35" s="3"/>
      <c r="L35" s="3"/>
      <c r="M35" s="3"/>
    </row>
    <row r="36" spans="1:1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3" t="e">
        <f>Sheet1!#REF!</f>
        <v>#REF!</v>
      </c>
      <c r="B37" s="3" t="e">
        <f>MAX(Sheet1!#REF!)+MAX(Sheet1!#REF!)/10</f>
        <v>#REF!</v>
      </c>
      <c r="C37" s="3"/>
      <c r="D37" s="3"/>
      <c r="E37" s="3"/>
      <c r="F37" s="3"/>
      <c r="G37" s="3"/>
      <c r="H37" s="3"/>
      <c r="I37" s="3" t="e">
        <f>Sheet1!#REF!</f>
        <v>#REF!</v>
      </c>
      <c r="J37" s="3"/>
      <c r="K37" s="3"/>
      <c r="L37" s="3"/>
      <c r="M37" s="3"/>
    </row>
    <row r="38" spans="1:13" x14ac:dyDescent="0.3">
      <c r="A38" s="3" t="e">
        <f>Sheet1!#REF!</f>
        <v>#REF!</v>
      </c>
      <c r="B38" s="3" t="e">
        <f>MAX(Sheet1!#REF!)+MAX(Sheet1!#REF!)/10</f>
        <v>#REF!</v>
      </c>
      <c r="C38" s="3"/>
      <c r="D38" s="3"/>
      <c r="E38" s="3"/>
      <c r="F38" s="3"/>
      <c r="G38" s="3"/>
      <c r="H38" s="3"/>
      <c r="I38" s="3" t="e">
        <f>Sheet1!#REF!</f>
        <v>#REF!</v>
      </c>
      <c r="J38" s="3"/>
      <c r="K38" s="3"/>
      <c r="L38" s="3"/>
      <c r="M38" s="3"/>
    </row>
    <row r="39" spans="1:13" x14ac:dyDescent="0.3">
      <c r="A39" s="3" t="e">
        <f>Sheet1!#REF!</f>
        <v>#REF!</v>
      </c>
      <c r="B39" s="3" t="e">
        <f>MAX(Sheet1!#REF!)+MAX(Sheet1!#REF!)/10</f>
        <v>#REF!</v>
      </c>
      <c r="C39" s="3"/>
      <c r="D39" s="3"/>
      <c r="E39" s="3"/>
      <c r="F39" s="3"/>
      <c r="G39" s="3"/>
      <c r="H39" s="3"/>
      <c r="I39" s="3" t="e">
        <f>Sheet1!#REF!</f>
        <v>#REF!</v>
      </c>
      <c r="J39" s="3"/>
      <c r="K39" s="3"/>
      <c r="L39" s="3"/>
      <c r="M39" s="3" t="e">
        <f>Sheet1!#REF!</f>
        <v>#REF!</v>
      </c>
    </row>
    <row r="40" spans="1:13" x14ac:dyDescent="0.3">
      <c r="A40" s="3" t="e">
        <f>Sheet1!#REF!</f>
        <v>#REF!</v>
      </c>
      <c r="B40" s="3" t="e">
        <f>MAX(Sheet1!#REF!)+MAX(Sheet1!#REF!)/10</f>
        <v>#REF!</v>
      </c>
      <c r="C40" s="3"/>
      <c r="D40" s="3"/>
      <c r="E40" s="3"/>
      <c r="F40" s="3"/>
      <c r="G40" s="3"/>
      <c r="H40" s="3"/>
      <c r="I40" s="3" t="e">
        <f>Sheet1!#REF!</f>
        <v>#REF!</v>
      </c>
      <c r="J40" s="3"/>
      <c r="K40" s="3"/>
      <c r="L40" s="3"/>
      <c r="M40" s="3"/>
    </row>
    <row r="41" spans="1:13" x14ac:dyDescent="0.3">
      <c r="A41" s="3" t="e">
        <f>Sheet1!#REF!</f>
        <v>#REF!</v>
      </c>
      <c r="B41" s="3" t="e">
        <f>MAX(Sheet1!#REF!)+MAX(Sheet1!#REF!)/10</f>
        <v>#REF!</v>
      </c>
      <c r="C41" s="3"/>
      <c r="D41" s="3"/>
      <c r="E41" s="3"/>
      <c r="F41" s="3"/>
      <c r="G41" s="3"/>
      <c r="H41" s="3"/>
      <c r="I41" s="3" t="e">
        <f>Sheet1!#REF!</f>
        <v>#REF!</v>
      </c>
      <c r="J41" s="3"/>
      <c r="K41" s="3"/>
      <c r="L41" s="3"/>
      <c r="M41" s="3"/>
    </row>
    <row r="42" spans="1:1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3" t="e">
        <f>Sheet1!#REF!</f>
        <v>#REF!</v>
      </c>
      <c r="B43" s="3" t="e">
        <f>MAX(Sheet1!#REF!)+MAX(Sheet1!#REF!)/10</f>
        <v>#REF!</v>
      </c>
      <c r="C43" s="3"/>
      <c r="D43" s="3"/>
      <c r="E43" s="3"/>
      <c r="F43" s="3"/>
      <c r="G43" s="3"/>
      <c r="H43" s="3"/>
      <c r="I43" s="3"/>
      <c r="J43" s="3" t="e">
        <f>Sheet1!#REF!</f>
        <v>#REF!</v>
      </c>
      <c r="K43" s="3"/>
      <c r="L43" s="3"/>
      <c r="M43" s="3"/>
    </row>
    <row r="44" spans="1:13" x14ac:dyDescent="0.3">
      <c r="A44" s="3" t="e">
        <f>Sheet1!#REF!</f>
        <v>#REF!</v>
      </c>
      <c r="B44" s="3" t="e">
        <f>MAX(Sheet1!#REF!)+MAX(Sheet1!#REF!)/10</f>
        <v>#REF!</v>
      </c>
      <c r="C44" s="3"/>
      <c r="D44" s="3"/>
      <c r="E44" s="3"/>
      <c r="F44" s="3"/>
      <c r="G44" s="3"/>
      <c r="H44" s="3"/>
      <c r="I44" s="3"/>
      <c r="J44" s="3" t="e">
        <f>Sheet1!#REF!</f>
        <v>#REF!</v>
      </c>
      <c r="K44" s="3"/>
      <c r="L44" s="3"/>
      <c r="M44" s="3"/>
    </row>
    <row r="45" spans="1:13" x14ac:dyDescent="0.3">
      <c r="A45" s="3" t="e">
        <f>Sheet1!#REF!</f>
        <v>#REF!</v>
      </c>
      <c r="B45" s="3" t="e">
        <f>MAX(Sheet1!#REF!)+MAX(Sheet1!#REF!)/10</f>
        <v>#REF!</v>
      </c>
      <c r="C45" s="3"/>
      <c r="D45" s="3"/>
      <c r="E45" s="3"/>
      <c r="F45" s="3"/>
      <c r="G45" s="3"/>
      <c r="H45" s="3"/>
      <c r="I45" s="3"/>
      <c r="J45" s="3" t="e">
        <f>Sheet1!#REF!</f>
        <v>#REF!</v>
      </c>
      <c r="K45" s="3"/>
      <c r="L45" s="3"/>
      <c r="M45" s="3" t="e">
        <f>Sheet1!#REF!</f>
        <v>#REF!</v>
      </c>
    </row>
    <row r="46" spans="1:13" x14ac:dyDescent="0.3">
      <c r="A46" s="3" t="e">
        <f>Sheet1!#REF!</f>
        <v>#REF!</v>
      </c>
      <c r="B46" s="3" t="e">
        <f>MAX(Sheet1!#REF!)+MAX(Sheet1!#REF!)/10</f>
        <v>#REF!</v>
      </c>
      <c r="C46" s="3"/>
      <c r="D46" s="3"/>
      <c r="E46" s="3"/>
      <c r="F46" s="3"/>
      <c r="G46" s="3"/>
      <c r="H46" s="3"/>
      <c r="I46" s="3"/>
      <c r="J46" s="3" t="e">
        <f>Sheet1!#REF!</f>
        <v>#REF!</v>
      </c>
      <c r="K46" s="3"/>
      <c r="L46" s="3"/>
      <c r="M46" s="3"/>
    </row>
    <row r="47" spans="1:13" x14ac:dyDescent="0.3">
      <c r="A47" s="3" t="e">
        <f>Sheet1!#REF!</f>
        <v>#REF!</v>
      </c>
      <c r="B47" s="3" t="e">
        <f>MAX(Sheet1!#REF!)+MAX(Sheet1!#REF!)/10</f>
        <v>#REF!</v>
      </c>
      <c r="C47" s="3"/>
      <c r="D47" s="3"/>
      <c r="E47" s="3"/>
      <c r="F47" s="3"/>
      <c r="G47" s="3"/>
      <c r="H47" s="3"/>
      <c r="I47" s="3"/>
      <c r="J47" s="3" t="e">
        <f>Sheet1!#REF!</f>
        <v>#REF!</v>
      </c>
      <c r="K47" s="3"/>
      <c r="L47" s="3"/>
      <c r="M47" s="3"/>
    </row>
    <row r="48" spans="1:13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3" t="e">
        <f>Sheet1!#REF!</f>
        <v>#REF!</v>
      </c>
      <c r="B49" s="3" t="e">
        <f>MAX(Sheet1!#REF!)+MAX(Sheet1!#REF!)/10</f>
        <v>#REF!</v>
      </c>
      <c r="C49" s="3"/>
      <c r="D49" s="3"/>
      <c r="E49" s="3"/>
      <c r="F49" s="3"/>
      <c r="G49" s="3"/>
      <c r="H49" s="3"/>
      <c r="I49" s="3"/>
      <c r="J49" s="3"/>
      <c r="K49" s="3" t="e">
        <f>Sheet1!#REF!</f>
        <v>#REF!</v>
      </c>
      <c r="L49" s="3"/>
      <c r="M49" s="3"/>
    </row>
    <row r="50" spans="1:13" x14ac:dyDescent="0.3">
      <c r="A50" s="3" t="e">
        <f>Sheet1!#REF!</f>
        <v>#REF!</v>
      </c>
      <c r="B50" s="3" t="e">
        <f>MAX(Sheet1!#REF!)+MAX(Sheet1!#REF!)/10</f>
        <v>#REF!</v>
      </c>
      <c r="C50" s="3"/>
      <c r="D50" s="3"/>
      <c r="E50" s="3"/>
      <c r="F50" s="3"/>
      <c r="G50" s="3"/>
      <c r="H50" s="3"/>
      <c r="I50" s="3"/>
      <c r="J50" s="3"/>
      <c r="K50" s="3" t="e">
        <f>Sheet1!#REF!</f>
        <v>#REF!</v>
      </c>
      <c r="L50" s="3"/>
      <c r="M50" s="3"/>
    </row>
    <row r="51" spans="1:13" x14ac:dyDescent="0.3">
      <c r="A51" s="3" t="e">
        <f>Sheet1!#REF!</f>
        <v>#REF!</v>
      </c>
      <c r="B51" s="3" t="e">
        <f>MAX(Sheet1!#REF!)+MAX(Sheet1!#REF!)/10</f>
        <v>#REF!</v>
      </c>
      <c r="C51" s="3"/>
      <c r="D51" s="3"/>
      <c r="E51" s="3"/>
      <c r="F51" s="3"/>
      <c r="G51" s="3"/>
      <c r="H51" s="3"/>
      <c r="I51" s="3"/>
      <c r="J51" s="3"/>
      <c r="K51" s="3" t="e">
        <f>Sheet1!#REF!</f>
        <v>#REF!</v>
      </c>
      <c r="L51" s="3"/>
      <c r="M51" s="3" t="e">
        <f>Sheet1!#REF!</f>
        <v>#REF!</v>
      </c>
    </row>
    <row r="52" spans="1:13" x14ac:dyDescent="0.3">
      <c r="A52" s="3" t="e">
        <f>Sheet1!#REF!</f>
        <v>#REF!</v>
      </c>
      <c r="B52" s="3" t="e">
        <f>MAX(Sheet1!#REF!)+MAX(Sheet1!#REF!)/10</f>
        <v>#REF!</v>
      </c>
      <c r="C52" s="3"/>
      <c r="D52" s="3"/>
      <c r="E52" s="3"/>
      <c r="F52" s="3"/>
      <c r="G52" s="3"/>
      <c r="H52" s="3"/>
      <c r="I52" s="3"/>
      <c r="J52" s="3"/>
      <c r="K52" s="3" t="e">
        <f>Sheet1!#REF!</f>
        <v>#REF!</v>
      </c>
      <c r="L52" s="3"/>
      <c r="M52" s="3"/>
    </row>
    <row r="53" spans="1:13" x14ac:dyDescent="0.3">
      <c r="A53" s="3" t="e">
        <f>Sheet1!#REF!</f>
        <v>#REF!</v>
      </c>
      <c r="B53" s="3" t="e">
        <f>MAX(Sheet1!#REF!)+MAX(Sheet1!#REF!)/10</f>
        <v>#REF!</v>
      </c>
      <c r="C53" s="3"/>
      <c r="D53" s="3"/>
      <c r="E53" s="3"/>
      <c r="F53" s="3"/>
      <c r="G53" s="3"/>
      <c r="H53" s="3"/>
      <c r="I53" s="3"/>
      <c r="J53" s="3"/>
      <c r="K53" s="3" t="e">
        <f>Sheet1!#REF!</f>
        <v>#REF!</v>
      </c>
      <c r="L53" s="3"/>
      <c r="M53" s="3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3" t="e">
        <f>Sheet1!#REF!</f>
        <v>#REF!</v>
      </c>
      <c r="B55" s="3" t="e">
        <f>MAX(Sheet1!#REF!)+MAX(Sheet1!#REF!)/10</f>
        <v>#REF!</v>
      </c>
      <c r="C55" s="3"/>
      <c r="D55" s="3"/>
      <c r="E55" s="3"/>
      <c r="F55" s="3"/>
      <c r="G55" s="3"/>
      <c r="H55" s="3"/>
      <c r="I55" s="3"/>
      <c r="J55" s="3"/>
      <c r="K55" s="3"/>
      <c r="L55" s="3" t="e">
        <f>Sheet1!#REF!</f>
        <v>#REF!</v>
      </c>
      <c r="M55" s="3"/>
    </row>
    <row r="56" spans="1:13" x14ac:dyDescent="0.3">
      <c r="A56" s="3" t="e">
        <f>Sheet1!#REF!</f>
        <v>#REF!</v>
      </c>
      <c r="B56" s="3" t="e">
        <f>MAX(Sheet1!#REF!)+MAX(Sheet1!#REF!)/10</f>
        <v>#REF!</v>
      </c>
      <c r="C56" s="3"/>
      <c r="D56" s="3"/>
      <c r="E56" s="3"/>
      <c r="F56" s="3"/>
      <c r="G56" s="3"/>
      <c r="H56" s="3"/>
      <c r="I56" s="3"/>
      <c r="J56" s="3"/>
      <c r="K56" s="3"/>
      <c r="L56" s="3" t="e">
        <f>Sheet1!#REF!</f>
        <v>#REF!</v>
      </c>
      <c r="M56" s="3"/>
    </row>
    <row r="57" spans="1:13" x14ac:dyDescent="0.3">
      <c r="A57" s="3" t="e">
        <f>Sheet1!#REF!</f>
        <v>#REF!</v>
      </c>
      <c r="B57" s="3" t="e">
        <f>MAX(Sheet1!#REF!)+MAX(Sheet1!#REF!)/10</f>
        <v>#REF!</v>
      </c>
      <c r="C57" s="3"/>
      <c r="D57" s="3"/>
      <c r="E57" s="3"/>
      <c r="F57" s="3"/>
      <c r="G57" s="3"/>
      <c r="H57" s="3"/>
      <c r="I57" s="3"/>
      <c r="J57" s="3"/>
      <c r="K57" s="3"/>
      <c r="L57" s="3" t="e">
        <f>Sheet1!#REF!</f>
        <v>#REF!</v>
      </c>
      <c r="M57" s="3" t="e">
        <f>Sheet1!#REF!</f>
        <v>#REF!</v>
      </c>
    </row>
    <row r="58" spans="1:13" x14ac:dyDescent="0.3">
      <c r="A58" s="3" t="e">
        <f>Sheet1!#REF!</f>
        <v>#REF!</v>
      </c>
      <c r="B58" s="3" t="e">
        <f>MAX(Sheet1!#REF!)+MAX(Sheet1!#REF!)/10</f>
        <v>#REF!</v>
      </c>
      <c r="C58" s="3"/>
      <c r="D58" s="3"/>
      <c r="E58" s="3"/>
      <c r="F58" s="3"/>
      <c r="G58" s="3"/>
      <c r="H58" s="3"/>
      <c r="I58" s="3"/>
      <c r="J58" s="3"/>
      <c r="K58" s="3"/>
      <c r="L58" s="3" t="e">
        <f>Sheet1!#REF!</f>
        <v>#REF!</v>
      </c>
      <c r="M58" s="3"/>
    </row>
    <row r="59" spans="1:13" x14ac:dyDescent="0.3">
      <c r="A59" s="3" t="e">
        <f>Sheet1!#REF!</f>
        <v>#REF!</v>
      </c>
      <c r="B59" s="3" t="e">
        <f>MAX(Sheet1!#REF!)+MAX(Sheet1!#REF!)/10</f>
        <v>#REF!</v>
      </c>
      <c r="C59" s="3"/>
      <c r="D59" s="3"/>
      <c r="E59" s="3"/>
      <c r="F59" s="3"/>
      <c r="G59" s="3"/>
      <c r="H59" s="3"/>
      <c r="I59" s="3"/>
      <c r="J59" s="3"/>
      <c r="K59" s="3"/>
      <c r="L59" s="3" t="e">
        <f>Sheet1!#REF!</f>
        <v>#REF!</v>
      </c>
      <c r="M59" s="3"/>
    </row>
    <row r="60" spans="1:13" x14ac:dyDescent="0.3">
      <c r="A60" t="s">
        <v>3</v>
      </c>
    </row>
    <row r="62" spans="1:13" x14ac:dyDescent="0.3">
      <c r="A62" t="e">
        <f>IF(ISNUMBER(Sheet1!#REF!),Sheet1!#REF!,NA())</f>
        <v>#N/A</v>
      </c>
      <c r="B62" t="e">
        <f>IF(ISNUMBER(Sheet1!#REF!),Sheet1!#REF!,NA())</f>
        <v>#N/A</v>
      </c>
      <c r="C62" t="e">
        <f>IF(ISNUMBER(Sheet1!#REF!),Sheet1!#REF!,NA())</f>
        <v>#N/A</v>
      </c>
      <c r="D62" t="e">
        <f>IF(ISNUMBER(Sheet1!#REF!),Sheet1!#REF!,NA())</f>
        <v>#N/A</v>
      </c>
      <c r="E62" t="e">
        <f>IF(ISNUMBER(Sheet1!#REF!),Sheet1!#REF!,NA())</f>
        <v>#N/A</v>
      </c>
      <c r="F62" t="e">
        <f>IF(ISNUMBER(Sheet1!#REF!),Sheet1!#REF!,NA())</f>
        <v>#N/A</v>
      </c>
      <c r="G62" t="e">
        <f>IF(ISNUMBER(Sheet1!#REF!),Sheet1!#REF!,NA())</f>
        <v>#N/A</v>
      </c>
      <c r="H62" t="e">
        <f>IF(ISNUMBER(Sheet1!#REF!),Sheet1!#REF!,NA())</f>
        <v>#N/A</v>
      </c>
      <c r="I62" t="e">
        <f>IF(ISNUMBER(Sheet1!#REF!),Sheet1!#REF!,NA())</f>
        <v>#N/A</v>
      </c>
      <c r="J62" t="e">
        <f>IF(ISNUMBER(Sheet1!#REF!),Sheet1!#REF!,NA())</f>
        <v>#N/A</v>
      </c>
      <c r="K62" t="e">
        <f>IF(ISNUMBER(Sheet1!#REF!),Sheet1!#REF!,NA())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Kutools_Chart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Mitra</dc:creator>
  <cp:lastModifiedBy>D Mitra</cp:lastModifiedBy>
  <dcterms:created xsi:type="dcterms:W3CDTF">2015-06-05T18:17:20Z</dcterms:created>
  <dcterms:modified xsi:type="dcterms:W3CDTF">2022-07-15T02:59:12Z</dcterms:modified>
</cp:coreProperties>
</file>